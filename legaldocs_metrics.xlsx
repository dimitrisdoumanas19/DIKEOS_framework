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<sst xmlns="http://schemas.openxmlformats.org/spreadsheetml/2006/main" count="66" uniqueCount="22">
  <si>
    <t xml:space="preserve">GROUND TRUTH</t>
  </si>
  <si>
    <t xml:space="preserve">LEGALDOCS1</t>
  </si>
  <si>
    <t xml:space="preserve">LEGALDOCS2</t>
  </si>
  <si>
    <t xml:space="preserve">LEGALDOCS3</t>
  </si>
  <si>
    <t xml:space="preserve">LEGALDOCS4</t>
  </si>
  <si>
    <t xml:space="preserve">LEGALDOCS5</t>
  </si>
  <si>
    <t xml:space="preserve">FOR LEGALDOCS 1</t>
  </si>
  <si>
    <t xml:space="preserve">TRUE POSTIVIES</t>
  </si>
  <si>
    <t xml:space="preserve">FALSE POSITIVES</t>
  </si>
  <si>
    <t xml:space="preserve">FALSE NEGATIVES</t>
  </si>
  <si>
    <t xml:space="preserve">PRECISION</t>
  </si>
  <si>
    <t xml:space="preserve">RECALL</t>
  </si>
  <si>
    <t xml:space="preserve">F-1 SCORE</t>
  </si>
  <si>
    <t xml:space="preserve">GPT 5.2</t>
  </si>
  <si>
    <t xml:space="preserve">CLAUDE 4.7</t>
  </si>
  <si>
    <t xml:space="preserve">MISTRAL 14B</t>
  </si>
  <si>
    <t xml:space="preserve">MISTRAL 24B</t>
  </si>
  <si>
    <t xml:space="preserve">KRIKRI</t>
  </si>
  <si>
    <t xml:space="preserve">FOR LEGALDOCS 2</t>
  </si>
  <si>
    <t xml:space="preserve">FOR LEGALDOCS 3</t>
  </si>
  <si>
    <t xml:space="preserve">FOR LEGALDOCS 4</t>
  </si>
  <si>
    <t xml:space="preserve">FOR LEGALDOCS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</si>
</sst>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61"/>
    </font>
    <font>
      <b val="true"/>
      <i val="true"/>
      <sz val="12"/>
      <color theme="1"/>
      <name val="Aptos Narrow"/>
      <family val="0"/>
      <charset val="1"/>
    </font>
    <font>
      <sz val="12"/>
      <color rgb="FF000000"/>
      <name val="Aptos Narrow"/>
      <family val="2"/>
      <charset val="161"/>
    </font>
    <font>
      <b val="true"/>
      <i val="true"/>
      <sz val="12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.51"/>
    <col collapsed="false" customWidth="true" hidden="false" outlineLevel="0" max="4" min="4" style="0" width="14.67"/>
    <col collapsed="false" customWidth="true" hidden="false" outlineLevel="0" max="5" min="5" style="0" width="15.33"/>
    <col collapsed="false" customWidth="true" hidden="false" outlineLevel="0" max="8" min="6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2"/>
      <c r="C2" s="2" t="s">
        <v>0</v>
      </c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2" t="s">
        <v>1</v>
      </c>
      <c r="C3" s="2" t="n">
        <v>2</v>
      </c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2" t="s">
        <v>2</v>
      </c>
      <c r="C4" s="2" t="n">
        <v>2</v>
      </c>
      <c r="D4" s="1"/>
      <c r="E4" s="1"/>
      <c r="F4" s="1"/>
      <c r="G4" s="1"/>
      <c r="H4" s="1"/>
    </row>
    <row r="5" customFormat="false" ht="15" hidden="false" customHeight="false" outlineLevel="0" collapsed="false">
      <c r="A5" s="1"/>
      <c r="B5" s="2" t="s">
        <v>3</v>
      </c>
      <c r="C5" s="2" t="n">
        <v>8</v>
      </c>
      <c r="D5" s="1"/>
      <c r="E5" s="1"/>
      <c r="F5" s="1"/>
      <c r="G5" s="1"/>
      <c r="H5" s="1"/>
    </row>
    <row r="6" customFormat="false" ht="15" hidden="false" customHeight="false" outlineLevel="0" collapsed="false">
      <c r="A6" s="1"/>
      <c r="B6" s="2" t="s">
        <v>4</v>
      </c>
      <c r="C6" s="2" t="n">
        <v>7</v>
      </c>
      <c r="D6" s="1"/>
      <c r="E6" s="1"/>
      <c r="F6" s="1"/>
      <c r="G6" s="1"/>
      <c r="H6" s="1"/>
    </row>
    <row r="7" customFormat="false" ht="15" hidden="false" customHeight="false" outlineLevel="0" collapsed="false">
      <c r="A7" s="1"/>
      <c r="B7" s="2" t="s">
        <v>5</v>
      </c>
      <c r="C7" s="2" t="n">
        <v>7</v>
      </c>
      <c r="D7" s="1"/>
      <c r="E7" s="1"/>
      <c r="F7" s="1"/>
      <c r="G7" s="1"/>
      <c r="H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"/>
      <c r="B9" s="1"/>
      <c r="C9" s="3" t="s">
        <v>6</v>
      </c>
      <c r="D9" s="1"/>
      <c r="E9" s="1"/>
      <c r="F9" s="1"/>
      <c r="G9" s="1"/>
      <c r="H9" s="1"/>
    </row>
    <row r="10" customFormat="false" ht="15" hidden="false" customHeight="false" outlineLevel="0" collapsed="false">
      <c r="A10" s="1"/>
      <c r="B10" s="2"/>
      <c r="C10" s="2" t="s">
        <v>7</v>
      </c>
      <c r="D10" s="2" t="s">
        <v>8</v>
      </c>
      <c r="E10" s="2" t="s">
        <v>9</v>
      </c>
      <c r="F10" s="2" t="s">
        <v>10</v>
      </c>
      <c r="G10" s="2" t="s">
        <v>11</v>
      </c>
      <c r="H10" s="2" t="s">
        <v>12</v>
      </c>
    </row>
    <row r="11" customFormat="false" ht="15" hidden="false" customHeight="false" outlineLevel="0" collapsed="false">
      <c r="A11" s="1"/>
      <c r="B11" s="2" t="s">
        <v>13</v>
      </c>
      <c r="C11" s="2" t="n">
        <v>2</v>
      </c>
      <c r="D11" s="2" t="n">
        <v>1</v>
      </c>
      <c r="E11" s="2" t="n">
        <v>0</v>
      </c>
      <c r="F11" s="4" t="n">
        <f aca="false">IF(C11+D11=0,0,C11/(C11+D11))</f>
        <v>0.666666666666667</v>
      </c>
      <c r="G11" s="4" t="n">
        <f aca="false">IF(C11+E11=0,0,C11/(C11+E11))</f>
        <v>1</v>
      </c>
      <c r="H11" s="4" t="n">
        <f aca="false">IF(F11+G11=0,0,2*F11*G11/(F11+G11))</f>
        <v>0.8</v>
      </c>
    </row>
    <row r="12" customFormat="false" ht="15" hidden="false" customHeight="false" outlineLevel="0" collapsed="false">
      <c r="A12" s="1"/>
      <c r="B12" s="2" t="s">
        <v>14</v>
      </c>
      <c r="C12" s="2" t="n">
        <v>2</v>
      </c>
      <c r="D12" s="2" t="n">
        <v>0</v>
      </c>
      <c r="E12" s="2" t="n">
        <v>0</v>
      </c>
      <c r="F12" s="4" t="n">
        <f aca="false">IF(C12+D12=0,0,C12/(C12+D12))</f>
        <v>1</v>
      </c>
      <c r="G12" s="4" t="n">
        <f aca="false">IF(C12+E12=0,0,C12/(C12+E12))</f>
        <v>1</v>
      </c>
      <c r="H12" s="4" t="n">
        <f aca="false">IF(F12+G12=0,0,2*F12*G12/(F12+G12))</f>
        <v>1</v>
      </c>
    </row>
    <row r="13" customFormat="false" ht="15" hidden="false" customHeight="false" outlineLevel="0" collapsed="false">
      <c r="A13" s="1"/>
      <c r="B13" s="2" t="s">
        <v>15</v>
      </c>
      <c r="C13" s="2" t="n">
        <v>2</v>
      </c>
      <c r="D13" s="2" t="n">
        <v>2</v>
      </c>
      <c r="E13" s="2" t="n">
        <v>0</v>
      </c>
      <c r="F13" s="4" t="n">
        <f aca="false">IF(C13+D13=0,0,C13/(C13+D13))</f>
        <v>0.5</v>
      </c>
      <c r="G13" s="4" t="n">
        <f aca="false">IF(C13+E13=0,0,C13/(C13+E13))</f>
        <v>1</v>
      </c>
      <c r="H13" s="4" t="n">
        <f aca="false">IF(F13+G13=0,0,2*F13*G13/(F13+G13))</f>
        <v>0.666666666666667</v>
      </c>
    </row>
    <row r="14" customFormat="false" ht="15" hidden="false" customHeight="false" outlineLevel="0" collapsed="false">
      <c r="A14" s="1"/>
      <c r="B14" s="2" t="s">
        <v>16</v>
      </c>
      <c r="C14" s="2" t="n">
        <v>1</v>
      </c>
      <c r="D14" s="2" t="n">
        <v>4</v>
      </c>
      <c r="E14" s="2" t="n">
        <v>1</v>
      </c>
      <c r="F14" s="4" t="n">
        <f aca="false">IF(C14+D14=0,0,C14/(C14+D14))</f>
        <v>0.2</v>
      </c>
      <c r="G14" s="4" t="n">
        <f aca="false">IF(C14+E14=0,0,C14/(C14+E14))</f>
        <v>0.5</v>
      </c>
      <c r="H14" s="4" t="n">
        <f aca="false">IF(F14+G14=0,0,2*F14*G14/(F14+G14))</f>
        <v>0.285714285714286</v>
      </c>
    </row>
    <row r="15" customFormat="false" ht="15" hidden="false" customHeight="false" outlineLevel="0" collapsed="false">
      <c r="A15" s="1"/>
      <c r="B15" s="2" t="s">
        <v>17</v>
      </c>
      <c r="C15" s="2" t="n">
        <v>1</v>
      </c>
      <c r="D15" s="2" t="n">
        <v>3</v>
      </c>
      <c r="E15" s="2" t="n">
        <v>1</v>
      </c>
      <c r="F15" s="4" t="n">
        <f aca="false">IF(C15+D15=0,0,C15/(C15+D15))</f>
        <v>0.25</v>
      </c>
      <c r="G15" s="4" t="n">
        <f aca="false">IF(C15+E15=0,0,C15/(C15+E15))</f>
        <v>0.5</v>
      </c>
      <c r="H15" s="4" t="n">
        <f aca="false">IF(F15+G15=0,0,2*F15*G15/(F15+G15))</f>
        <v>0.333333333333333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3" t="s">
        <v>18</v>
      </c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2"/>
      <c r="C18" s="2" t="s">
        <v>7</v>
      </c>
      <c r="D18" s="2" t="s">
        <v>8</v>
      </c>
      <c r="E18" s="2" t="s">
        <v>9</v>
      </c>
      <c r="F18" s="2" t="s">
        <v>10</v>
      </c>
      <c r="G18" s="2" t="s">
        <v>11</v>
      </c>
      <c r="H18" s="2" t="s">
        <v>12</v>
      </c>
    </row>
    <row r="19" customFormat="false" ht="15" hidden="false" customHeight="false" outlineLevel="0" collapsed="false">
      <c r="A19" s="1"/>
      <c r="B19" s="2" t="s">
        <v>13</v>
      </c>
      <c r="C19" s="2" t="n">
        <v>1</v>
      </c>
      <c r="D19" s="2" t="n">
        <v>2</v>
      </c>
      <c r="E19" s="2" t="n">
        <v>1</v>
      </c>
      <c r="F19" s="4" t="n">
        <f aca="false">IF(C19+D19=0,0,C19/(C19+D19))</f>
        <v>0.333333333333333</v>
      </c>
      <c r="G19" s="4" t="n">
        <f aca="false">IF(C19+E19=0,0,C19/(C19+E19))</f>
        <v>0.5</v>
      </c>
      <c r="H19" s="4" t="n">
        <f aca="false">IF(F19+G19=0,0,2*F19*G19/(F19+G19))</f>
        <v>0.4</v>
      </c>
    </row>
    <row r="20" customFormat="false" ht="15" hidden="false" customHeight="false" outlineLevel="0" collapsed="false">
      <c r="A20" s="1"/>
      <c r="B20" s="2" t="s">
        <v>14</v>
      </c>
      <c r="C20" s="2" t="n">
        <v>2</v>
      </c>
      <c r="D20" s="2" t="n">
        <v>0</v>
      </c>
      <c r="E20" s="2" t="n">
        <v>0</v>
      </c>
      <c r="F20" s="4" t="n">
        <f aca="false">IF(C20+D20=0,0,C20/(C20+D20))</f>
        <v>1</v>
      </c>
      <c r="G20" s="4" t="n">
        <f aca="false">IF(C20+E20=0,0,C20/(C20+E20))</f>
        <v>1</v>
      </c>
      <c r="H20" s="4" t="n">
        <f aca="false">IF(F20+G20=0,0,2*F20*G20/(F20+G20))</f>
        <v>1</v>
      </c>
    </row>
    <row r="21" customFormat="false" ht="15" hidden="false" customHeight="false" outlineLevel="0" collapsed="false">
      <c r="A21" s="1"/>
      <c r="B21" s="2" t="s">
        <v>15</v>
      </c>
      <c r="C21" s="2" t="n">
        <v>1</v>
      </c>
      <c r="D21" s="2" t="n">
        <v>2</v>
      </c>
      <c r="E21" s="2" t="n">
        <v>1</v>
      </c>
      <c r="F21" s="4" t="n">
        <f aca="false">IF(C21+D21=0,0,C21/(C21+D21))</f>
        <v>0.333333333333333</v>
      </c>
      <c r="G21" s="4" t="n">
        <f aca="false">IF(C21+E21=0,0,C21/(C21+E21))</f>
        <v>0.5</v>
      </c>
      <c r="H21" s="4" t="n">
        <f aca="false">IF(F21+G21=0,0,2*F21*G21/(F21+G21))</f>
        <v>0.4</v>
      </c>
    </row>
    <row r="22" customFormat="false" ht="15" hidden="false" customHeight="false" outlineLevel="0" collapsed="false">
      <c r="A22" s="1"/>
      <c r="B22" s="2" t="s">
        <v>16</v>
      </c>
      <c r="C22" s="2" t="n">
        <v>0</v>
      </c>
      <c r="D22" s="2" t="n">
        <v>3</v>
      </c>
      <c r="E22" s="2" t="n">
        <v>2</v>
      </c>
      <c r="F22" s="4" t="n">
        <f aca="false">IF(C22+D22=0,0,C22/(C22+D22))</f>
        <v>0</v>
      </c>
      <c r="G22" s="4" t="n">
        <f aca="false">IF(C22+E22=0,0,C22/(C22+E22))</f>
        <v>0</v>
      </c>
      <c r="H22" s="4" t="n">
        <f aca="false">IF(F22+G22=0,0,2*F22*G22/(F22+G22))</f>
        <v>0</v>
      </c>
    </row>
    <row r="23" customFormat="false" ht="15" hidden="false" customHeight="false" outlineLevel="0" collapsed="false">
      <c r="A23" s="1"/>
      <c r="B23" s="2" t="s">
        <v>17</v>
      </c>
      <c r="C23" s="2" t="n">
        <v>0</v>
      </c>
      <c r="D23" s="2" t="n">
        <v>4</v>
      </c>
      <c r="E23" s="2" t="n">
        <v>2</v>
      </c>
      <c r="F23" s="4" t="n">
        <f aca="false">IF(C23+D23=0,0,C23/(C23+D23))</f>
        <v>0</v>
      </c>
      <c r="G23" s="4" t="n">
        <f aca="false">IF(C23+E23=0,0,C23/(C23+E23))</f>
        <v>0</v>
      </c>
      <c r="H23" s="4" t="n">
        <f aca="false">IF(F23+G23=0,0,2*F23*G23/(F23+G23))</f>
        <v>0</v>
      </c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5"/>
      <c r="C25" s="6" t="s">
        <v>19</v>
      </c>
      <c r="D25" s="5"/>
      <c r="E25" s="5"/>
      <c r="F25" s="5"/>
      <c r="G25" s="5"/>
      <c r="H25" s="5"/>
    </row>
    <row r="26" customFormat="false" ht="15" hidden="false" customHeight="false" outlineLevel="0" collapsed="false">
      <c r="A26" s="1"/>
      <c r="B26" s="7"/>
      <c r="C26" s="8" t="s">
        <v>7</v>
      </c>
      <c r="D26" s="8" t="s">
        <v>8</v>
      </c>
      <c r="E26" s="8" t="s">
        <v>9</v>
      </c>
      <c r="F26" s="8" t="s">
        <v>10</v>
      </c>
      <c r="G26" s="8" t="s">
        <v>11</v>
      </c>
      <c r="H26" s="8" t="s">
        <v>12</v>
      </c>
    </row>
    <row r="27" customFormat="false" ht="15" hidden="false" customHeight="false" outlineLevel="0" collapsed="false">
      <c r="A27" s="1"/>
      <c r="B27" s="9" t="s">
        <v>13</v>
      </c>
      <c r="C27" s="10" t="n">
        <v>8</v>
      </c>
      <c r="D27" s="10" t="n">
        <v>1</v>
      </c>
      <c r="E27" s="10" t="n">
        <v>0</v>
      </c>
      <c r="F27" s="11" t="n">
        <f aca="false">IF(C27+D27=0,0,C27/(C27+D27))</f>
        <v>0.888888888888889</v>
      </c>
      <c r="G27" s="11" t="n">
        <f aca="false">IF(C27+E27=0,0,C27/(C27+E27))</f>
        <v>1</v>
      </c>
      <c r="H27" s="11" t="n">
        <f aca="false">IF(F27+G27=0,0,2*F27*G27/(F27+G27))</f>
        <v>0.941176470588235</v>
      </c>
    </row>
    <row r="28" customFormat="false" ht="15" hidden="false" customHeight="false" outlineLevel="0" collapsed="false">
      <c r="A28" s="1"/>
      <c r="B28" s="9" t="s">
        <v>14</v>
      </c>
      <c r="C28" s="10" t="n">
        <v>8</v>
      </c>
      <c r="D28" s="10" t="n">
        <v>0</v>
      </c>
      <c r="E28" s="10" t="n">
        <v>0</v>
      </c>
      <c r="F28" s="11" t="n">
        <f aca="false">IF(C28+D28=0,0,C28/(C28+D28))</f>
        <v>1</v>
      </c>
      <c r="G28" s="11" t="n">
        <f aca="false">IF(C28+E28=0,0,C28/(C28+E28))</f>
        <v>1</v>
      </c>
      <c r="H28" s="11" t="n">
        <f aca="false">IF(F28+G28=0,0,2*F28*G28/(F28+G28))</f>
        <v>1</v>
      </c>
    </row>
    <row r="29" customFormat="false" ht="15" hidden="false" customHeight="false" outlineLevel="0" collapsed="false">
      <c r="A29" s="1"/>
      <c r="B29" s="9" t="s">
        <v>15</v>
      </c>
      <c r="C29" s="10" t="n">
        <v>2</v>
      </c>
      <c r="D29" s="10" t="n">
        <v>1</v>
      </c>
      <c r="E29" s="10" t="n">
        <v>6</v>
      </c>
      <c r="F29" s="11" t="n">
        <f aca="false">IF(C29+D29=0,0,C29/(C29+D29))</f>
        <v>0.666666666666667</v>
      </c>
      <c r="G29" s="11" t="n">
        <f aca="false">IF(C29+E29=0,0,C29/(C29+E29))</f>
        <v>0.25</v>
      </c>
      <c r="H29" s="11" t="n">
        <f aca="false">IF(F29+G29=0,0,2*F29*G29/(F29+G29))</f>
        <v>0.363636363636364</v>
      </c>
    </row>
    <row r="30" customFormat="false" ht="15" hidden="false" customHeight="false" outlineLevel="0" collapsed="false">
      <c r="A30" s="1"/>
      <c r="B30" s="9" t="s">
        <v>16</v>
      </c>
      <c r="C30" s="10" t="n">
        <v>0</v>
      </c>
      <c r="D30" s="10" t="n">
        <v>0</v>
      </c>
      <c r="E30" s="10" t="n">
        <v>8</v>
      </c>
      <c r="F30" s="11" t="n">
        <f aca="false">IF(C30+D30=0,0,C30/(C30+D30))</f>
        <v>0</v>
      </c>
      <c r="G30" s="11" t="n">
        <f aca="false">IF(C30+E30=0,0,C30/(C30+E30))</f>
        <v>0</v>
      </c>
      <c r="H30" s="11" t="n">
        <f aca="false">IF(F30+G30=0,0,2*F30*G30/(F30+G30))</f>
        <v>0</v>
      </c>
    </row>
    <row r="31" customFormat="false" ht="15" hidden="false" customHeight="false" outlineLevel="0" collapsed="false">
      <c r="A31" s="1"/>
      <c r="B31" s="9" t="s">
        <v>17</v>
      </c>
      <c r="C31" s="10" t="n">
        <v>2</v>
      </c>
      <c r="D31" s="10" t="n">
        <v>5</v>
      </c>
      <c r="E31" s="10" t="n">
        <v>6</v>
      </c>
      <c r="F31" s="11" t="n">
        <f aca="false">IF(C31+D31=0,0,C31/(C31+D31))</f>
        <v>0.285714285714286</v>
      </c>
      <c r="G31" s="11" t="n">
        <f aca="false">IF(C31+E31=0,0,C31/(C31+E31))</f>
        <v>0.25</v>
      </c>
      <c r="H31" s="11" t="n">
        <f aca="false">IF(F31+G31=0,0,2*F31*G31/(F31+G31))</f>
        <v>0.266666666666667</v>
      </c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5"/>
      <c r="C33" s="6" t="s">
        <v>20</v>
      </c>
      <c r="D33" s="5"/>
      <c r="E33" s="5"/>
      <c r="F33" s="5"/>
      <c r="G33" s="5"/>
      <c r="H33" s="5"/>
    </row>
    <row r="34" customFormat="false" ht="15" hidden="false" customHeight="false" outlineLevel="0" collapsed="false">
      <c r="A34" s="1"/>
      <c r="B34" s="7"/>
      <c r="C34" s="8" t="s">
        <v>7</v>
      </c>
      <c r="D34" s="8" t="s">
        <v>8</v>
      </c>
      <c r="E34" s="8" t="s">
        <v>9</v>
      </c>
      <c r="F34" s="8" t="s">
        <v>10</v>
      </c>
      <c r="G34" s="8" t="s">
        <v>11</v>
      </c>
      <c r="H34" s="8" t="s">
        <v>12</v>
      </c>
    </row>
    <row r="35" customFormat="false" ht="15" hidden="false" customHeight="false" outlineLevel="0" collapsed="false">
      <c r="A35" s="1"/>
      <c r="B35" s="9" t="s">
        <v>13</v>
      </c>
      <c r="C35" s="10" t="n">
        <v>7</v>
      </c>
      <c r="D35" s="10" t="n">
        <v>1</v>
      </c>
      <c r="E35" s="10" t="n">
        <v>0</v>
      </c>
      <c r="F35" s="11" t="n">
        <f aca="false">IF(C35+D35=0,0,C35/(C35+D35))</f>
        <v>0.875</v>
      </c>
      <c r="G35" s="11" t="n">
        <f aca="false">IF(C35+E35=0,0,C35/(C35+E35))</f>
        <v>1</v>
      </c>
      <c r="H35" s="11" t="n">
        <f aca="false">IF(F35+G35=0,0,2*F35*G35/(F35+G35))</f>
        <v>0.933333333333333</v>
      </c>
    </row>
    <row r="36" customFormat="false" ht="15" hidden="false" customHeight="false" outlineLevel="0" collapsed="false">
      <c r="A36" s="1"/>
      <c r="B36" s="9" t="s">
        <v>14</v>
      </c>
      <c r="C36" s="10" t="n">
        <v>7</v>
      </c>
      <c r="D36" s="10" t="n">
        <v>0</v>
      </c>
      <c r="E36" s="10" t="n">
        <v>0</v>
      </c>
      <c r="F36" s="11" t="n">
        <f aca="false">IF(C36+D36=0,0,C36/(C36+D36))</f>
        <v>1</v>
      </c>
      <c r="G36" s="11" t="n">
        <f aca="false">IF(C36+E36=0,0,C36/(C36+E36))</f>
        <v>1</v>
      </c>
      <c r="H36" s="11" t="n">
        <f aca="false">IF(F36+G36=0,0,2*F36*G36/(F36+G36))</f>
        <v>1</v>
      </c>
    </row>
    <row r="37" customFormat="false" ht="15" hidden="false" customHeight="false" outlineLevel="0" collapsed="false">
      <c r="A37" s="1"/>
      <c r="B37" s="9" t="s">
        <v>15</v>
      </c>
      <c r="C37" s="10" t="n">
        <v>3</v>
      </c>
      <c r="D37" s="10" t="n">
        <v>1</v>
      </c>
      <c r="E37" s="10" t="n">
        <v>4</v>
      </c>
      <c r="F37" s="11" t="n">
        <f aca="false">IF(C37+D37=0,0,C37/(C37+D37))</f>
        <v>0.75</v>
      </c>
      <c r="G37" s="11" t="n">
        <f aca="false">IF(C37+E37=0,0,C37/(C37+E37))</f>
        <v>0.428571428571429</v>
      </c>
      <c r="H37" s="11" t="n">
        <f aca="false">IF(F37+G37=0,0,2*F37*G37/(F37+G37))</f>
        <v>0.545454545454545</v>
      </c>
    </row>
    <row r="38" customFormat="false" ht="15" hidden="false" customHeight="false" outlineLevel="0" collapsed="false">
      <c r="A38" s="1"/>
      <c r="B38" s="9" t="s">
        <v>16</v>
      </c>
      <c r="C38" s="10" t="n">
        <v>2</v>
      </c>
      <c r="D38" s="10" t="n">
        <v>2</v>
      </c>
      <c r="E38" s="10" t="n">
        <v>5</v>
      </c>
      <c r="F38" s="11" t="n">
        <f aca="false">IF(C38+D38=0,0,C38/(C38+D38))</f>
        <v>0.5</v>
      </c>
      <c r="G38" s="11" t="n">
        <f aca="false">IF(C38+E38=0,0,C38/(C38+E38))</f>
        <v>0.285714285714286</v>
      </c>
      <c r="H38" s="11" t="n">
        <f aca="false">IF(F38+G38=0,0,2*F38*G38/(F38+G38))</f>
        <v>0.363636363636364</v>
      </c>
    </row>
    <row r="39" customFormat="false" ht="15" hidden="false" customHeight="false" outlineLevel="0" collapsed="false">
      <c r="A39" s="1"/>
      <c r="B39" s="9" t="s">
        <v>17</v>
      </c>
      <c r="C39" s="10" t="n">
        <v>2</v>
      </c>
      <c r="D39" s="10" t="n">
        <v>3</v>
      </c>
      <c r="E39" s="10" t="n">
        <v>5</v>
      </c>
      <c r="F39" s="11" t="n">
        <f aca="false">IF(C39+D39=0,0,C39/(C39+D39))</f>
        <v>0.4</v>
      </c>
      <c r="G39" s="11" t="n">
        <f aca="false">IF(C39+E39=0,0,C39/(C39+E39))</f>
        <v>0.285714285714286</v>
      </c>
      <c r="H39" s="11" t="n">
        <f aca="false">IF(F39+G39=0,0,2*F39*G39/(F39+G39))</f>
        <v>0.333333333333333</v>
      </c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5" hidden="false" customHeight="false" outlineLevel="0" collapsed="false">
      <c r="A41" s="1"/>
      <c r="B41" s="5"/>
      <c r="C41" s="6" t="s">
        <v>21</v>
      </c>
      <c r="D41" s="5"/>
      <c r="E41" s="5"/>
      <c r="F41" s="5"/>
      <c r="G41" s="5"/>
      <c r="H41" s="5"/>
    </row>
    <row r="42" customFormat="false" ht="15" hidden="false" customHeight="false" outlineLevel="0" collapsed="false">
      <c r="A42" s="1"/>
      <c r="B42" s="7"/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</row>
    <row r="43" customFormat="false" ht="15" hidden="false" customHeight="false" outlineLevel="0" collapsed="false">
      <c r="A43" s="1"/>
      <c r="B43" s="9" t="s">
        <v>13</v>
      </c>
      <c r="C43" s="10" t="n">
        <v>7</v>
      </c>
      <c r="D43" s="10" t="n">
        <v>1</v>
      </c>
      <c r="E43" s="10" t="n">
        <v>0</v>
      </c>
      <c r="F43" s="11" t="n">
        <f aca="false">IF(C43+D43=0,0,C43/(C43+D43))</f>
        <v>0.875</v>
      </c>
      <c r="G43" s="11" t="n">
        <f aca="false">IF(C43+E43=0,0,C43/(C43+E43))</f>
        <v>1</v>
      </c>
      <c r="H43" s="11" t="n">
        <f aca="false">IF(F43+G43=0,0,2*F43*G43/(F43+G43))</f>
        <v>0.933333333333333</v>
      </c>
    </row>
    <row r="44" customFormat="false" ht="15" hidden="false" customHeight="false" outlineLevel="0" collapsed="false">
      <c r="A44" s="1"/>
      <c r="B44" s="9" t="s">
        <v>14</v>
      </c>
      <c r="C44" s="10" t="n">
        <v>7</v>
      </c>
      <c r="D44" s="10" t="n">
        <v>0</v>
      </c>
      <c r="E44" s="10" t="n">
        <v>0</v>
      </c>
      <c r="F44" s="11" t="n">
        <f aca="false">IF(C44+D44=0,0,C44/(C44+D44))</f>
        <v>1</v>
      </c>
      <c r="G44" s="11" t="n">
        <f aca="false">IF(C44+E44=0,0,C44/(C44+E44))</f>
        <v>1</v>
      </c>
      <c r="H44" s="11" t="n">
        <f aca="false">IF(F44+G44=0,0,2*F44*G44/(F44+G44))</f>
        <v>1</v>
      </c>
    </row>
    <row r="45" customFormat="false" ht="15" hidden="false" customHeight="false" outlineLevel="0" collapsed="false">
      <c r="A45" s="1"/>
      <c r="B45" s="9" t="s">
        <v>15</v>
      </c>
      <c r="C45" s="10" t="n">
        <v>3</v>
      </c>
      <c r="D45" s="10" t="n">
        <v>1</v>
      </c>
      <c r="E45" s="10" t="n">
        <v>4</v>
      </c>
      <c r="F45" s="11" t="n">
        <f aca="false">IF(C45+D45=0,0,C45/(C45+D45))</f>
        <v>0.75</v>
      </c>
      <c r="G45" s="11" t="n">
        <f aca="false">IF(C45+E45=0,0,C45/(C45+E45))</f>
        <v>0.428571428571429</v>
      </c>
      <c r="H45" s="11" t="n">
        <f aca="false">IF(F45+G45=0,0,2*F45*G45/(F45+G45))</f>
        <v>0.545454545454545</v>
      </c>
    </row>
    <row r="46" customFormat="false" ht="15" hidden="false" customHeight="false" outlineLevel="0" collapsed="false">
      <c r="A46" s="1"/>
      <c r="B46" s="9" t="s">
        <v>16</v>
      </c>
      <c r="C46" s="10" t="n">
        <v>1</v>
      </c>
      <c r="D46" s="10" t="n">
        <v>2</v>
      </c>
      <c r="E46" s="10" t="n">
        <v>6</v>
      </c>
      <c r="F46" s="11" t="n">
        <f aca="false">IF(C46+D46=0,0,C46/(C46+D46))</f>
        <v>0.333333333333333</v>
      </c>
      <c r="G46" s="11" t="n">
        <f aca="false">IF(C46+E46=0,0,C46/(C46+E46))</f>
        <v>0.142857142857143</v>
      </c>
      <c r="H46" s="11" t="n">
        <f aca="false">IF(F46+G46=0,0,2*F46*G46/(F46+G46))</f>
        <v>0.2</v>
      </c>
    </row>
    <row r="47" customFormat="false" ht="15" hidden="false" customHeight="false" outlineLevel="0" collapsed="false">
      <c r="A47" s="1"/>
      <c r="B47" s="9" t="s">
        <v>17</v>
      </c>
      <c r="C47" s="10" t="n">
        <v>2</v>
      </c>
      <c r="D47" s="10" t="n">
        <v>3</v>
      </c>
      <c r="E47" s="10" t="n">
        <v>5</v>
      </c>
      <c r="F47" s="11" t="n">
        <f aca="false">IF(C47+D47=0,0,C47/(C47+D47))</f>
        <v>0.4</v>
      </c>
      <c r="G47" s="11" t="n">
        <f aca="false">IF(C47+E47=0,0,C47/(C47+E47))</f>
        <v>0.285714285714286</v>
      </c>
      <c r="H47" s="11" t="n">
        <f aca="false">IF(F47+G47=0,0,2*F47*G47/(F47+G47))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2026-02-22T11:36:52Z</dcterms:created>
  <dc:creator>openpyxl</dc:creator>
  <dc:description/>
  <dc:language>en-US</dc:language>
  <cp:lastModifiedBy/>
  <dcterms:modified xsi:type="dcterms:W3CDTF">2026-02-22T11:37:48Z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